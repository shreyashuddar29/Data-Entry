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reyas\Documents\"/>
    </mc:Choice>
  </mc:AlternateContent>
  <xr:revisionPtr revIDLastSave="0" documentId="13_ncr:1_{1D4122B9-233E-4046-AFD6-A8E40F822658}" xr6:coauthVersionLast="47" xr6:coauthVersionMax="47" xr10:uidLastSave="{00000000-0000-0000-0000-000000000000}"/>
  <bookViews>
    <workbookView xWindow="-108" yWindow="-108" windowWidth="23256" windowHeight="12456" xr2:uid="{22A1E27B-6ADE-4F73-9702-F7E5B5261330}"/>
  </bookViews>
  <sheets>
    <sheet name="Data Entry" sheetId="1" r:id="rId1"/>
    <sheet name="DataBase" sheetId="2" r:id="rId2"/>
    <sheet name="Dashboards" sheetId="3" r:id="rId3"/>
    <sheet name="Sheet1" sheetId="4" state="hidden" r:id="rId4"/>
  </sheets>
  <definedNames>
    <definedName name="_xlnm._FilterDatabase" localSheetId="2" hidden="1">Dashboards!$B$1:$B$500</definedName>
    <definedName name="_xlnm.Extract" localSheetId="2">Dashboards!$D$1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10" i="3"/>
  <c r="E11" i="3"/>
  <c r="E12" i="3"/>
  <c r="E2" i="3"/>
  <c r="J7" i="1"/>
  <c r="A34" i="1"/>
  <c r="E34" i="1"/>
  <c r="K34" i="1"/>
  <c r="J34" i="1"/>
  <c r="I34" i="1"/>
  <c r="H34" i="1"/>
  <c r="G34" i="1"/>
  <c r="F34" i="1"/>
  <c r="D34" i="1"/>
  <c r="C34" i="1"/>
  <c r="B34" i="1"/>
  <c r="K24" i="1"/>
  <c r="G24" i="1" s="1"/>
  <c r="E9" i="1"/>
  <c r="E3" i="1"/>
  <c r="J5" i="1"/>
  <c r="J3" i="1"/>
  <c r="E17" i="1"/>
  <c r="E15" i="1"/>
  <c r="E13" i="1"/>
  <c r="E11" i="1"/>
  <c r="E5" i="1"/>
</calcChain>
</file>

<file path=xl/sharedStrings.xml><?xml version="1.0" encoding="utf-8"?>
<sst xmlns="http://schemas.openxmlformats.org/spreadsheetml/2006/main" count="207" uniqueCount="86">
  <si>
    <t>Student Name</t>
  </si>
  <si>
    <t>Father's Name</t>
  </si>
  <si>
    <t>Gender</t>
  </si>
  <si>
    <t>Address</t>
  </si>
  <si>
    <t>City</t>
  </si>
  <si>
    <t>State</t>
  </si>
  <si>
    <t>Pin</t>
  </si>
  <si>
    <t>Contact</t>
  </si>
  <si>
    <t>Reg. No.</t>
  </si>
  <si>
    <t>Addmission Date</t>
  </si>
  <si>
    <t>Course Name</t>
  </si>
  <si>
    <t>:</t>
  </si>
  <si>
    <t>Terms and Conditions</t>
  </si>
  <si>
    <t>Fee of any course is not refundable.
The registration fee will not be added to the course fee.</t>
  </si>
  <si>
    <t>Submit</t>
  </si>
  <si>
    <t>Clear</t>
  </si>
  <si>
    <t>Admission Date</t>
  </si>
  <si>
    <t>PIN</t>
  </si>
  <si>
    <t>Belagavi</t>
  </si>
  <si>
    <t>Karnataka</t>
  </si>
  <si>
    <t>Male</t>
  </si>
  <si>
    <t>Sateesh</t>
  </si>
  <si>
    <t>Shahpur</t>
  </si>
  <si>
    <t>Varad</t>
  </si>
  <si>
    <t>Dadar</t>
  </si>
  <si>
    <t>Mumbai</t>
  </si>
  <si>
    <t>Maharashtra</t>
  </si>
  <si>
    <t>Shreyas Huddar</t>
  </si>
  <si>
    <t>Tilakwadi</t>
  </si>
  <si>
    <t>2GI21IS050</t>
  </si>
  <si>
    <t>Web Development - Dr.Hari</t>
  </si>
  <si>
    <t>C - Prof.Ram</t>
  </si>
  <si>
    <t>C++ - Dr.Shyam</t>
  </si>
  <si>
    <t>Python - Prof.Ram</t>
  </si>
  <si>
    <t>Java - Prof.Radha</t>
  </si>
  <si>
    <t>ReactJS - Prof.Albert</t>
  </si>
  <si>
    <t>DBMS - Dr.Dhoomketu</t>
  </si>
  <si>
    <t>C# - Dr.Robert</t>
  </si>
  <si>
    <t>Machine Learning - Dr.Issac</t>
  </si>
  <si>
    <t>Data Science - Dr.Shyam</t>
  </si>
  <si>
    <t>Artificial Intelligence - Dr.Dhoomketu</t>
  </si>
  <si>
    <t>Show Dashboard</t>
  </si>
  <si>
    <t>Anand</t>
  </si>
  <si>
    <t>Elective Course Registration Portal</t>
  </si>
  <si>
    <t>Varad Velangi</t>
  </si>
  <si>
    <t>Balagavi</t>
  </si>
  <si>
    <t>2GI21IS059</t>
  </si>
  <si>
    <t>Ram</t>
  </si>
  <si>
    <t>2GI21CS203</t>
  </si>
  <si>
    <t>Ajay - Patil</t>
  </si>
  <si>
    <t>Sara Tendulkar</t>
  </si>
  <si>
    <t>Sachin</t>
  </si>
  <si>
    <t>Goregoan</t>
  </si>
  <si>
    <t>2GI21ME110</t>
  </si>
  <si>
    <t>Ahemdabad</t>
  </si>
  <si>
    <t>Gujarat</t>
  </si>
  <si>
    <t>Vijay Mishra</t>
  </si>
  <si>
    <t>Amit</t>
  </si>
  <si>
    <t>Krishana Ganj</t>
  </si>
  <si>
    <t>Gwalior</t>
  </si>
  <si>
    <t>Madhya Pradesh</t>
  </si>
  <si>
    <t>2GI21AE007</t>
  </si>
  <si>
    <t>Gandhi Chowk</t>
  </si>
  <si>
    <t>2GI22CS115</t>
  </si>
  <si>
    <t>Female</t>
  </si>
  <si>
    <t>Sanvi Jain</t>
  </si>
  <si>
    <t>Suresh</t>
  </si>
  <si>
    <t>Ramesh</t>
  </si>
  <si>
    <t>Adani Nagar</t>
  </si>
  <si>
    <t>Surat</t>
  </si>
  <si>
    <t>Frequency</t>
  </si>
  <si>
    <t>Yash kulkarni</t>
  </si>
  <si>
    <t>Santosh kulkarni</t>
  </si>
  <si>
    <t>Chidambar nagar</t>
  </si>
  <si>
    <t>Belgaum</t>
  </si>
  <si>
    <t>Anirudh Kulkarni</t>
  </si>
  <si>
    <t>Anand Kulkarni</t>
  </si>
  <si>
    <t>2GI22CS116</t>
  </si>
  <si>
    <t>2GI21IS063</t>
  </si>
  <si>
    <t>2GI21IS008</t>
  </si>
  <si>
    <t>Arnav S</t>
  </si>
  <si>
    <t>Rohan s</t>
  </si>
  <si>
    <t>Madhu Dixit</t>
  </si>
  <si>
    <t>Keshav Dixit</t>
  </si>
  <si>
    <t>Nathpainagar, Angol</t>
  </si>
  <si>
    <t>2GI21CS085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</si>
</sst>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u val="double"/>
      <sz val="20"/>
      <color theme="0"/>
      <name val="Calibri"/>
      <family val="2"/>
      <scheme val="minor"/>
    </font>
    <font>
      <u val="double"/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1" xfId="0" applyFont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14" fontId="0" fillId="0" borderId="2" xfId="0" applyNumberFormat="1" applyBorder="1" applyAlignment="1">
      <alignment horizontal="center" vertical="center"/>
    </xf>
    <xf numFmtId="0" fontId="3" fillId="0" borderId="0" xfId="0" applyFont="1"/>
    <xf numFmtId="1" fontId="1" fillId="5" borderId="0" xfId="0" applyNumberFormat="1" applyFont="1" applyFill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6" xfId="0" applyFill="1" applyBorder="1"/>
    <xf numFmtId="0" fontId="0" fillId="6" borderId="0" xfId="0" applyFill="1"/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8" xfId="0" applyFill="1" applyBorder="1"/>
    <xf numFmtId="0" fontId="0" fillId="6" borderId="9" xfId="0" applyFill="1" applyBorder="1"/>
    <xf numFmtId="0" fontId="0" fillId="6" borderId="7" xfId="0" applyFill="1" applyBorder="1"/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left" vertical="center"/>
    </xf>
    <xf numFmtId="0" fontId="4" fillId="6" borderId="7" xfId="0" applyFont="1" applyFill="1" applyBorder="1" applyAlignment="1">
      <alignment vertical="center"/>
    </xf>
    <xf numFmtId="0" fontId="0" fillId="6" borderId="10" xfId="0" applyFill="1" applyBorder="1"/>
    <xf numFmtId="0" fontId="0" fillId="4" borderId="0" xfId="0" applyFill="1"/>
    <xf numFmtId="0" fontId="3" fillId="5" borderId="5" xfId="0" applyFont="1" applyFill="1" applyBorder="1"/>
    <xf numFmtId="0" fontId="0" fillId="0" borderId="2" xfId="0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/>
    <xf numFmtId="14" fontId="3" fillId="4" borderId="0" xfId="0" applyNumberFormat="1" applyFont="1" applyFill="1"/>
    <xf numFmtId="0" fontId="9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/>
    <xf numFmtId="14" fontId="0" fillId="0" borderId="2" xfId="0" applyNumberFormat="1" applyBorder="1" applyAlignment="1">
      <alignment horizontal="center"/>
    </xf>
    <xf numFmtId="0" fontId="1" fillId="5" borderId="3" xfId="0" applyFont="1" applyFill="1" applyBorder="1" applyAlignment="1">
      <alignment horizontal="right" vertical="center"/>
    </xf>
    <xf numFmtId="0" fontId="3" fillId="5" borderId="4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left" vertical="top" wrapText="1"/>
    </xf>
    <xf numFmtId="0" fontId="8" fillId="2" borderId="0" xfId="0" applyFont="1" applyFill="1" applyAlignment="1">
      <alignment horizontal="left" vertical="top"/>
    </xf>
    <xf numFmtId="0" fontId="8" fillId="2" borderId="7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8" fillId="2" borderId="8" xfId="0" applyFont="1" applyFill="1" applyBorder="1" applyAlignment="1">
      <alignment horizontal="left" vertical="top"/>
    </xf>
    <xf numFmtId="0" fontId="8" fillId="2" borderId="9" xfId="0" applyFont="1" applyFill="1" applyBorder="1" applyAlignment="1">
      <alignment horizontal="left" vertical="top"/>
    </xf>
    <xf numFmtId="0" fontId="8" fillId="2" borderId="10" xfId="0" applyFont="1" applyFill="1" applyBorder="1" applyAlignment="1">
      <alignment horizontal="left" vertical="top"/>
    </xf>
    <xf numFmtId="0" fontId="6" fillId="5" borderId="11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rgbClr val="002060"/>
                </a:solidFill>
              </a:rPr>
              <a:t>Student</a:t>
            </a:r>
            <a:r>
              <a:rPr lang="en-IN" b="1" baseline="0">
                <a:solidFill>
                  <a:srgbClr val="002060"/>
                </a:solidFill>
              </a:rPr>
              <a:t> Data Entry</a:t>
            </a:r>
            <a:endParaRPr lang="en-IN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Dashboards!$E$1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6C-4895-82EC-29F04EC3E4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6C-4895-82EC-29F04EC3E4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76C-4895-82EC-29F04EC3E4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76C-4895-82EC-29F04EC3E4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76C-4895-82EC-29F04EC3E4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76C-4895-82EC-29F04EC3E4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76C-4895-82EC-29F04EC3E4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76C-4895-82EC-29F04EC3E4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76C-4895-82EC-29F04EC3E4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76C-4895-82EC-29F04EC3E4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76C-4895-82EC-29F04EC3E4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Dashboards!$D$2:$D$12</c:f>
              <c:strCache>
                <c:ptCount val="11"/>
                <c:pt idx="0">
                  <c:v>Web Development - Dr.Hari</c:v>
                </c:pt>
                <c:pt idx="1">
                  <c:v>ReactJS - Prof.Albert</c:v>
                </c:pt>
                <c:pt idx="2">
                  <c:v>C++ - Dr.Shyam</c:v>
                </c:pt>
                <c:pt idx="3">
                  <c:v>C - Prof.Ram</c:v>
                </c:pt>
                <c:pt idx="4">
                  <c:v>Java - Prof.Radha</c:v>
                </c:pt>
                <c:pt idx="5">
                  <c:v>Python - Prof.Ram</c:v>
                </c:pt>
                <c:pt idx="6">
                  <c:v>DBMS - Dr.Dhoomketu</c:v>
                </c:pt>
                <c:pt idx="7">
                  <c:v>C# - Dr.Robert</c:v>
                </c:pt>
                <c:pt idx="8">
                  <c:v>Machine Learning - Dr.Issac</c:v>
                </c:pt>
                <c:pt idx="9">
                  <c:v>Data Science - Dr.Shyam</c:v>
                </c:pt>
                <c:pt idx="10">
                  <c:v>Artificial Intelligence - Dr.Dhoomketu</c:v>
                </c:pt>
              </c:strCache>
            </c:strRef>
          </c:cat>
          <c:val>
            <c:numRef>
              <c:f>Dashboards!$E$2:$E$12</c:f>
              <c:numCache>
                <c:formatCode>General</c:formatCode>
                <c:ptCount val="11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A-428F-ADD0-C7FE463B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64"/>
        <c:axId val="882121487"/>
        <c:axId val="195603375"/>
      </c:barChart>
      <c:catAx>
        <c:axId val="882121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rgbClr val="002060"/>
                    </a:solidFill>
                  </a:rPr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03375"/>
        <c:crosses val="autoZero"/>
        <c:auto val="1"/>
        <c:lblAlgn val="ctr"/>
        <c:lblOffset val="100"/>
        <c:noMultiLvlLbl val="0"/>
      </c:catAx>
      <c:valAx>
        <c:axId val="19560337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rgbClr val="002060"/>
                    </a:solidFill>
                  </a:rPr>
                  <a:t> Students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121487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H$24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CheckBox" checked="Checked" fmlaLink="$I$2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6</xdr:row>
          <xdr:rowOff>91440</xdr:rowOff>
        </xdr:from>
        <xdr:to>
          <xdr:col>3</xdr:col>
          <xdr:colOff>1005840</xdr:colOff>
          <xdr:row>6</xdr:row>
          <xdr:rowOff>312420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1737360</xdr:colOff>
          <xdr:row>6</xdr:row>
          <xdr:rowOff>99060</xdr:rowOff>
        </xdr:from>
        <xdr:to>
          <xdr:col>3</xdr:col>
          <xdr:colOff>2552700</xdr:colOff>
          <xdr:row>6</xdr:row>
          <xdr:rowOff>320040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10</xdr:row>
          <xdr:rowOff>15240</xdr:rowOff>
        </xdr:from>
        <xdr:to>
          <xdr:col>6</xdr:col>
          <xdr:colOff>137160</xdr:colOff>
          <xdr:row>11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152400</xdr:rowOff>
        </xdr:from>
        <xdr:to>
          <xdr:col>6</xdr:col>
          <xdr:colOff>670560</xdr:colOff>
          <xdr:row>21</xdr:row>
          <xdr:rowOff>7620</xdr:rowOff>
        </xdr:to>
        <xdr:pic macro="[0]!Submit"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3" spid="_x0000_s1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74920" y="4183380"/>
              <a:ext cx="1051560" cy="4038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1897380</xdr:colOff>
          <xdr:row>18</xdr:row>
          <xdr:rowOff>152400</xdr:rowOff>
        </xdr:from>
        <xdr:to>
          <xdr:col>4</xdr:col>
          <xdr:colOff>15240</xdr:colOff>
          <xdr:row>21</xdr:row>
          <xdr:rowOff>7620</xdr:rowOff>
        </xdr:to>
        <xdr:pic macro="[0]!_xludf.Clear"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6" spid="_x0000_s17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657600" y="4183380"/>
              <a:ext cx="1051560" cy="4038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79286</xdr:colOff>
      <xdr:row>0</xdr:row>
      <xdr:rowOff>106680</xdr:rowOff>
    </xdr:from>
    <xdr:to>
      <xdr:col>12</xdr:col>
      <xdr:colOff>365760</xdr:colOff>
      <xdr:row>8</xdr:row>
      <xdr:rowOff>83820</xdr:rowOff>
    </xdr:to>
    <xdr:pic macro="[0]!Macro5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7586" y="106680"/>
          <a:ext cx="896074" cy="1440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137227</xdr:colOff>
      <xdr:row>13</xdr:row>
      <xdr:rowOff>173047</xdr:rowOff>
    </xdr:from>
    <xdr:to>
      <xdr:col>10</xdr:col>
      <xdr:colOff>182880</xdr:colOff>
      <xdr:row>28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DDCA6-0F17-4726-9C1B-0F85EEDA4F8F}">
  <sheetPr codeName="Sheet1"/>
  <dimension ref="A1:K59"/>
  <sheetViews>
    <sheetView showGridLines="0" tabSelected="1" workbookViewId="0">
      <selection activeCell="D20" sqref="A1:J20"/>
    </sheetView>
  </sheetViews>
  <sheetFormatPr defaultRowHeight="14.4" x14ac:dyDescent="0.3"/>
  <cols>
    <col min="1" max="1" width="32" customWidth="1"/>
    <col min="2" max="2" width="13.44140625" bestFit="1" customWidth="1"/>
    <col min="3" max="3" width="3.33203125" customWidth="1"/>
    <col min="4" max="4" width="42.77734375" customWidth="1"/>
    <col min="5" max="6" width="5.5546875" customWidth="1"/>
    <col min="7" max="7" width="15.21875" bestFit="1" customWidth="1"/>
    <col min="8" max="8" width="3.33203125" customWidth="1"/>
    <col min="9" max="9" width="42.77734375" customWidth="1"/>
    <col min="10" max="10" width="42.5546875" customWidth="1"/>
  </cols>
  <sheetData>
    <row r="1" spans="1:10" ht="46.2" customHeight="1" thickBot="1" x14ac:dyDescent="0.35">
      <c r="A1" s="54" t="s">
        <v>43</v>
      </c>
      <c r="B1" s="55"/>
      <c r="C1" s="55"/>
      <c r="D1" s="55"/>
      <c r="E1" s="55"/>
      <c r="F1" s="55"/>
      <c r="G1" s="55"/>
      <c r="H1" s="55"/>
      <c r="I1" s="55"/>
      <c r="J1" s="56"/>
    </row>
    <row r="2" spans="1:10" ht="12" customHeight="1" x14ac:dyDescent="0.3">
      <c r="A2" s="12"/>
      <c r="B2" s="13"/>
      <c r="C2" s="13"/>
      <c r="D2" s="13"/>
      <c r="E2" s="13"/>
      <c r="F2" s="13"/>
      <c r="G2" s="13"/>
      <c r="H2" s="13"/>
      <c r="I2" s="13"/>
      <c r="J2" s="19"/>
    </row>
    <row r="3" spans="1:10" ht="30.6" customHeight="1" x14ac:dyDescent="0.3">
      <c r="A3" s="12"/>
      <c r="B3" s="14" t="s">
        <v>0</v>
      </c>
      <c r="C3" s="15" t="s">
        <v>11</v>
      </c>
      <c r="D3" s="1"/>
      <c r="E3" s="20" t="str">
        <f>IF(D3="","*",1)</f>
        <v>*</v>
      </c>
      <c r="F3" s="13"/>
      <c r="G3" s="15" t="s">
        <v>8</v>
      </c>
      <c r="H3" s="15" t="s">
        <v>11</v>
      </c>
      <c r="I3" s="6"/>
      <c r="J3" s="22" t="str">
        <f>IF(I3="","*",1)</f>
        <v>*</v>
      </c>
    </row>
    <row r="4" spans="1:10" ht="4.2" customHeight="1" x14ac:dyDescent="0.3">
      <c r="A4" s="12"/>
      <c r="B4" s="14"/>
      <c r="C4" s="16"/>
      <c r="D4" s="13"/>
      <c r="E4" s="13"/>
      <c r="F4" s="13"/>
      <c r="G4" s="15"/>
      <c r="H4" s="16"/>
      <c r="I4" s="13"/>
      <c r="J4" s="19"/>
    </row>
    <row r="5" spans="1:10" ht="30.6" customHeight="1" x14ac:dyDescent="0.3">
      <c r="A5" s="12"/>
      <c r="B5" s="14" t="s">
        <v>1</v>
      </c>
      <c r="C5" s="15" t="s">
        <v>11</v>
      </c>
      <c r="D5" s="1"/>
      <c r="E5" s="20" t="str">
        <f>IF(D5="","*",1)</f>
        <v>*</v>
      </c>
      <c r="F5" s="13"/>
      <c r="G5" s="15" t="s">
        <v>9</v>
      </c>
      <c r="H5" s="15" t="s">
        <v>11</v>
      </c>
      <c r="I5" s="7"/>
      <c r="J5" s="22" t="str">
        <f>IF(I5="","*",1)</f>
        <v>*</v>
      </c>
    </row>
    <row r="6" spans="1:10" ht="4.2" customHeight="1" x14ac:dyDescent="0.3">
      <c r="A6" s="12"/>
      <c r="B6" s="14"/>
      <c r="C6" s="16"/>
      <c r="D6" s="13"/>
      <c r="E6" s="13"/>
      <c r="F6" s="13"/>
      <c r="G6" s="15"/>
      <c r="H6" s="16"/>
      <c r="I6" s="13"/>
      <c r="J6" s="19"/>
    </row>
    <row r="7" spans="1:10" ht="30.6" customHeight="1" x14ac:dyDescent="0.3">
      <c r="A7" s="12"/>
      <c r="B7" s="14" t="s">
        <v>2</v>
      </c>
      <c r="C7" s="15" t="s">
        <v>11</v>
      </c>
      <c r="D7" s="13"/>
      <c r="E7" s="13"/>
      <c r="F7" s="13"/>
      <c r="G7" s="15" t="s">
        <v>10</v>
      </c>
      <c r="H7" s="15" t="s">
        <v>11</v>
      </c>
      <c r="I7" s="1"/>
      <c r="J7" s="22" t="str">
        <f>IF(I7="","*",1)</f>
        <v>*</v>
      </c>
    </row>
    <row r="8" spans="1:10" ht="4.2" customHeight="1" x14ac:dyDescent="0.3">
      <c r="A8" s="12"/>
      <c r="B8" s="14"/>
      <c r="C8" s="16"/>
      <c r="D8" s="13"/>
      <c r="E8" s="13"/>
      <c r="F8" s="13"/>
      <c r="G8" s="13"/>
      <c r="H8" s="13"/>
      <c r="I8" s="13"/>
      <c r="J8" s="19"/>
    </row>
    <row r="9" spans="1:10" ht="30.6" customHeight="1" x14ac:dyDescent="0.3">
      <c r="A9" s="12"/>
      <c r="B9" s="14" t="s">
        <v>3</v>
      </c>
      <c r="C9" s="15" t="s">
        <v>11</v>
      </c>
      <c r="D9" s="4"/>
      <c r="E9" s="21" t="str">
        <f>IF(D9="","*",1)</f>
        <v>*</v>
      </c>
      <c r="F9" s="13"/>
      <c r="G9" s="13"/>
      <c r="H9" s="13"/>
      <c r="I9" s="13"/>
      <c r="J9" s="19"/>
    </row>
    <row r="10" spans="1:10" ht="4.2" customHeight="1" thickBot="1" x14ac:dyDescent="0.35">
      <c r="A10" s="12"/>
      <c r="B10" s="14"/>
      <c r="C10" s="16"/>
      <c r="D10" s="13"/>
      <c r="E10" s="13"/>
      <c r="F10" s="13"/>
      <c r="G10" s="13"/>
      <c r="H10" s="13"/>
      <c r="I10" s="13"/>
      <c r="J10" s="19"/>
    </row>
    <row r="11" spans="1:10" ht="30.6" customHeight="1" x14ac:dyDescent="0.3">
      <c r="A11" s="12"/>
      <c r="B11" s="14" t="s">
        <v>4</v>
      </c>
      <c r="C11" s="15" t="s">
        <v>11</v>
      </c>
      <c r="D11" s="1"/>
      <c r="E11" s="20" t="str">
        <f>IF(D11="","*",1)</f>
        <v>*</v>
      </c>
      <c r="F11" s="45" t="s">
        <v>12</v>
      </c>
      <c r="G11" s="46"/>
      <c r="H11" s="46"/>
      <c r="I11" s="25"/>
      <c r="J11" s="19"/>
    </row>
    <row r="12" spans="1:10" ht="4.2" customHeight="1" x14ac:dyDescent="0.3">
      <c r="A12" s="12"/>
      <c r="B12" s="14"/>
      <c r="C12" s="16"/>
      <c r="D12" s="13"/>
      <c r="E12" s="13"/>
      <c r="F12" s="47" t="s">
        <v>13</v>
      </c>
      <c r="G12" s="48"/>
      <c r="H12" s="48"/>
      <c r="I12" s="49"/>
      <c r="J12" s="19"/>
    </row>
    <row r="13" spans="1:10" ht="30.6" customHeight="1" x14ac:dyDescent="0.3">
      <c r="A13" s="12"/>
      <c r="B13" s="14" t="s">
        <v>5</v>
      </c>
      <c r="C13" s="15" t="s">
        <v>11</v>
      </c>
      <c r="D13" s="1"/>
      <c r="E13" s="20" t="str">
        <f>IF(D13="","*",1)</f>
        <v>*</v>
      </c>
      <c r="F13" s="50"/>
      <c r="G13" s="48"/>
      <c r="H13" s="48"/>
      <c r="I13" s="49"/>
      <c r="J13" s="19"/>
    </row>
    <row r="14" spans="1:10" ht="4.2" customHeight="1" x14ac:dyDescent="0.3">
      <c r="A14" s="12"/>
      <c r="B14" s="14"/>
      <c r="C14" s="16"/>
      <c r="D14" s="13"/>
      <c r="E14" s="13"/>
      <c r="F14" s="50"/>
      <c r="G14" s="48"/>
      <c r="H14" s="48"/>
      <c r="I14" s="49"/>
      <c r="J14" s="19"/>
    </row>
    <row r="15" spans="1:10" ht="30.6" customHeight="1" thickBot="1" x14ac:dyDescent="0.35">
      <c r="A15" s="12"/>
      <c r="B15" s="14" t="s">
        <v>6</v>
      </c>
      <c r="C15" s="15" t="s">
        <v>11</v>
      </c>
      <c r="D15" s="6"/>
      <c r="E15" s="20" t="str">
        <f>IF(D15="","*",1)</f>
        <v>*</v>
      </c>
      <c r="F15" s="51"/>
      <c r="G15" s="52"/>
      <c r="H15" s="52"/>
      <c r="I15" s="53"/>
      <c r="J15" s="19"/>
    </row>
    <row r="16" spans="1:10" ht="4.2" customHeight="1" x14ac:dyDescent="0.3">
      <c r="A16" s="12"/>
      <c r="B16" s="14"/>
      <c r="C16" s="16"/>
      <c r="D16" s="13"/>
      <c r="E16" s="13"/>
      <c r="F16" s="13"/>
      <c r="G16" s="13"/>
      <c r="H16" s="13"/>
      <c r="I16" s="13"/>
      <c r="J16" s="19"/>
    </row>
    <row r="17" spans="1:11" ht="30.6" customHeight="1" x14ac:dyDescent="0.3">
      <c r="A17" s="12"/>
      <c r="B17" s="14" t="s">
        <v>7</v>
      </c>
      <c r="C17" s="15" t="s">
        <v>11</v>
      </c>
      <c r="D17" s="6"/>
      <c r="E17" s="20" t="str">
        <f>IF(D17="","*",1)</f>
        <v>*</v>
      </c>
      <c r="F17" s="13"/>
      <c r="G17" s="13"/>
      <c r="H17" s="13"/>
      <c r="I17" s="13"/>
      <c r="J17" s="19"/>
    </row>
    <row r="18" spans="1:11" x14ac:dyDescent="0.3">
      <c r="A18" s="12"/>
      <c r="B18" s="14"/>
      <c r="C18" s="13"/>
      <c r="D18" s="13"/>
      <c r="E18" s="13"/>
      <c r="F18" s="13"/>
      <c r="G18" s="13"/>
      <c r="H18" s="13"/>
      <c r="I18" s="13"/>
      <c r="J18" s="19"/>
    </row>
    <row r="19" spans="1:11" x14ac:dyDescent="0.3">
      <c r="A19" s="12"/>
      <c r="B19" s="13"/>
      <c r="C19" s="13"/>
      <c r="D19" s="13"/>
      <c r="E19" s="13"/>
      <c r="F19" s="13"/>
      <c r="G19" s="13"/>
      <c r="H19" s="13"/>
      <c r="I19" s="13"/>
      <c r="J19" s="19"/>
    </row>
    <row r="20" spans="1:11" x14ac:dyDescent="0.3">
      <c r="A20" s="12"/>
      <c r="B20" s="13"/>
      <c r="C20" s="13"/>
      <c r="D20" s="13"/>
      <c r="E20" s="13"/>
      <c r="F20" s="13"/>
      <c r="G20" s="13"/>
      <c r="H20" s="13"/>
      <c r="I20" s="13"/>
      <c r="J20" s="19"/>
    </row>
    <row r="21" spans="1:11" x14ac:dyDescent="0.3">
      <c r="A21" s="12"/>
      <c r="B21" s="13"/>
      <c r="C21" s="13"/>
      <c r="D21" s="13"/>
      <c r="E21" s="13"/>
      <c r="F21" s="13"/>
      <c r="G21" s="13"/>
      <c r="H21" s="13"/>
      <c r="I21" s="13"/>
      <c r="J21" s="19"/>
    </row>
    <row r="22" spans="1:11" ht="9" customHeight="1" thickBot="1" x14ac:dyDescent="0.35">
      <c r="A22" s="17"/>
      <c r="B22" s="18"/>
      <c r="C22" s="18"/>
      <c r="D22" s="18"/>
      <c r="E22" s="18"/>
      <c r="F22" s="18"/>
      <c r="G22" s="18"/>
      <c r="H22" s="18"/>
      <c r="I22" s="18"/>
      <c r="J22" s="23"/>
    </row>
    <row r="23" spans="1:11" x14ac:dyDescent="0.3">
      <c r="A23" s="24"/>
      <c r="B23" s="24"/>
      <c r="C23" s="24"/>
    </row>
    <row r="24" spans="1:11" s="9" customFormat="1" x14ac:dyDescent="0.3">
      <c r="G24" s="9" t="b">
        <f>AND(I24=TRUE, K24=10)</f>
        <v>0</v>
      </c>
      <c r="H24" s="9">
        <v>2</v>
      </c>
      <c r="I24" s="9" t="b">
        <v>1</v>
      </c>
      <c r="K24" s="9">
        <f>COUNTA(D5,D11,D13,D15,D17,I3,D3,I5,I7,D9)</f>
        <v>0</v>
      </c>
    </row>
    <row r="25" spans="1:11" s="30" customFormat="1" x14ac:dyDescent="0.3"/>
    <row r="27" spans="1:11" s="30" customFormat="1" x14ac:dyDescent="0.3"/>
    <row r="28" spans="1:11" s="30" customFormat="1" x14ac:dyDescent="0.3"/>
    <row r="32" spans="1:11" s="9" customFormat="1" x14ac:dyDescent="0.3"/>
    <row r="33" spans="1:11" s="9" customFormat="1" x14ac:dyDescent="0.3">
      <c r="A33" s="27" t="s">
        <v>0</v>
      </c>
      <c r="B33" s="27" t="s">
        <v>8</v>
      </c>
      <c r="C33" s="27" t="s">
        <v>1</v>
      </c>
      <c r="D33" s="27" t="s">
        <v>16</v>
      </c>
      <c r="E33" s="27" t="s">
        <v>2</v>
      </c>
      <c r="F33" s="27" t="s">
        <v>10</v>
      </c>
      <c r="G33" s="27" t="s">
        <v>3</v>
      </c>
      <c r="H33" s="27" t="s">
        <v>4</v>
      </c>
      <c r="I33" s="27" t="s">
        <v>5</v>
      </c>
      <c r="J33" s="27" t="s">
        <v>17</v>
      </c>
      <c r="K33" s="27" t="s">
        <v>7</v>
      </c>
    </row>
    <row r="34" spans="1:11" s="9" customFormat="1" x14ac:dyDescent="0.3">
      <c r="A34" s="28">
        <f>D3</f>
        <v>0</v>
      </c>
      <c r="B34" s="28">
        <f>I3</f>
        <v>0</v>
      </c>
      <c r="C34" s="28">
        <f>D5</f>
        <v>0</v>
      </c>
      <c r="D34" s="29">
        <f>I5</f>
        <v>0</v>
      </c>
      <c r="E34" s="28" t="str">
        <f>IF(H24=1,"Male","Female")</f>
        <v>Female</v>
      </c>
      <c r="F34" s="28">
        <f>I7</f>
        <v>0</v>
      </c>
      <c r="G34" s="28">
        <f>D9</f>
        <v>0</v>
      </c>
      <c r="H34" s="28">
        <f>D11</f>
        <v>0</v>
      </c>
      <c r="I34" s="28">
        <f>D13</f>
        <v>0</v>
      </c>
      <c r="J34" s="28">
        <f>D15</f>
        <v>0</v>
      </c>
      <c r="K34" s="28">
        <f>D17</f>
        <v>0</v>
      </c>
    </row>
    <row r="43" spans="1:11" ht="31.2" customHeight="1" x14ac:dyDescent="0.3">
      <c r="G43" s="2" t="s">
        <v>14</v>
      </c>
    </row>
    <row r="46" spans="1:11" ht="31.2" customHeight="1" x14ac:dyDescent="0.3">
      <c r="G46" s="3" t="s">
        <v>15</v>
      </c>
    </row>
    <row r="59" spans="4:4" x14ac:dyDescent="0.3">
      <c r="D59">
        <v>1</v>
      </c>
    </row>
  </sheetData>
  <mergeCells count="3">
    <mergeCell ref="F11:H11"/>
    <mergeCell ref="F12:I15"/>
    <mergeCell ref="A1:J1"/>
  </mergeCells>
  <conditionalFormatting sqref="D3 I3 D5 I5 I7 D11 D13 D15 D17">
    <cfRule type="containsBlanks" dxfId="2" priority="7">
      <formula>LEN(TRIM(D3))=0</formula>
    </cfRule>
  </conditionalFormatting>
  <conditionalFormatting sqref="D9">
    <cfRule type="containsBlanks" dxfId="1" priority="2">
      <formula>LEN(TRIM(D9))=0</formula>
    </cfRule>
  </conditionalFormatting>
  <conditionalFormatting sqref="G43">
    <cfRule type="expression" dxfId="0" priority="3">
      <formula>$G$24=TRUE</formula>
    </cfRule>
  </conditionalFormatting>
  <dataValidations count="7">
    <dataValidation type="list" allowBlank="1" showInputMessage="1" showErrorMessage="1" sqref="D13" xr:uid="{8CE0D3BD-8445-4D0B-BB4C-8C6298AC76CC}">
      <formula1>"Andhra Pradesh, Arunachal Pradesh, Assam, Bihar, Chhattisgarh, Goa, Gujarat, Haryana, Himachal Pradesh, Jharkhand, Karnataka, Kerala, Madhya Pradesh, Maharashtra, Manipur, Meghalaya, Mizoram, Nagaland, Odisha, Punjab, Rajasthan, Sikkim, Tamil Nadu,"</formula1>
    </dataValidation>
    <dataValidation type="list" allowBlank="1" showInputMessage="1" showErrorMessage="1" sqref="I7" xr:uid="{17F612FF-6151-413C-9930-CE6710B4F794}">
      <formula1>"C - Prof.Ram,C++ - Dr.Shyam,Java - Prof.Radha,Python - Prof.Ram,Web Development - Dr.Hari,ReactJS - Prof.Albert,DBMS - Dr.Dhoomketu,C# - Dr.Robert,Machine Learning - Dr.Issac,Data Science - Dr.Shyam,Artificial Intelligence - Dr.Dhoomketu"</formula1>
    </dataValidation>
    <dataValidation type="custom" allowBlank="1" showInputMessage="1" showErrorMessage="1" error="Pincode should be a six digit number" sqref="D15" xr:uid="{CD558B24-37D3-4D2A-AA06-3F1959824BAA}">
      <formula1>AND(ISNUMBER(D15), LEN(D15) = 6)</formula1>
    </dataValidation>
    <dataValidation type="custom" allowBlank="1" showInputMessage="1" showErrorMessage="1" error="Contact number should be a 10 digit number." sqref="D17" xr:uid="{B7673CC9-9035-493D-A6D8-EDB4899DF8B8}">
      <formula1>AND(ISNUMBER(D17), LEN(D17)=10)</formula1>
    </dataValidation>
    <dataValidation type="custom" allowBlank="1" showInputMessage="1" showErrorMessage="1" error="Kindly input all the fields" sqref="G43" xr:uid="{14B4CDEE-ED14-4E30-9737-B4B2E58C6FF8}">
      <formula1>"IF(G24==FALSE)"</formula1>
    </dataValidation>
    <dataValidation type="custom" allowBlank="1" showInputMessage="1" showErrorMessage="1" error="Kindly check out the Terms and Conditions." sqref="I24" xr:uid="{2CB2EBDD-2804-4857-9692-2F9B84D92F5A}">
      <formula1>"IF(I24==FALSE)"</formula1>
    </dataValidation>
    <dataValidation type="custom" allowBlank="1" showInputMessage="1" showErrorMessage="1" error="Registration Number should contain 10 digits." sqref="I3" xr:uid="{79C2F20E-F8C7-4643-B4BA-BB6128EA2325}">
      <formula1>AND(LEN(I3)=10)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3</xdr:col>
                    <xdr:colOff>190500</xdr:colOff>
                    <xdr:row>6</xdr:row>
                    <xdr:rowOff>91440</xdr:rowOff>
                  </from>
                  <to>
                    <xdr:col>3</xdr:col>
                    <xdr:colOff>1005840</xdr:colOff>
                    <xdr:row>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3</xdr:col>
                    <xdr:colOff>1737360</xdr:colOff>
                    <xdr:row>6</xdr:row>
                    <xdr:rowOff>99060</xdr:rowOff>
                  </from>
                  <to>
                    <xdr:col>3</xdr:col>
                    <xdr:colOff>2552700</xdr:colOff>
                    <xdr:row>6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5</xdr:col>
                    <xdr:colOff>129540</xdr:colOff>
                    <xdr:row>10</xdr:row>
                    <xdr:rowOff>15240</xdr:rowOff>
                  </from>
                  <to>
                    <xdr:col>6</xdr:col>
                    <xdr:colOff>137160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CA59181-ED58-4BB1-8708-1F974D64DE34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  <x14:conditionalFormatting xmlns:xm="http://schemas.microsoft.com/office/excel/2006/main">
          <x14:cfRule type="iconSet" priority="1" id="{CDCAD9C1-61BE-49FC-AD51-CEF3A77EEDEA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61E6-E6E1-4513-BD4B-F5BA07004A91}">
  <sheetPr codeName="Sheet2"/>
  <dimension ref="A1:W15"/>
  <sheetViews>
    <sheetView zoomScaleNormal="100" workbookViewId="0">
      <selection activeCell="C18" sqref="C18"/>
    </sheetView>
  </sheetViews>
  <sheetFormatPr defaultRowHeight="14.4" x14ac:dyDescent="0.3"/>
  <cols>
    <col min="1" max="1" width="20" style="31" customWidth="1"/>
    <col min="2" max="2" width="14.44140625" style="36" customWidth="1"/>
    <col min="3" max="3" width="20" style="31" customWidth="1"/>
    <col min="4" max="4" width="14.109375" style="31" bestFit="1" customWidth="1"/>
    <col min="5" max="5" width="7.77734375" style="31" customWidth="1"/>
    <col min="6" max="6" width="31.6640625" style="31" bestFit="1" customWidth="1"/>
    <col min="7" max="7" width="28.88671875" style="31" bestFit="1" customWidth="1"/>
    <col min="8" max="8" width="13.5546875" style="31" bestFit="1" customWidth="1"/>
    <col min="9" max="9" width="13.77734375" style="31" bestFit="1" customWidth="1"/>
    <col min="10" max="10" width="11.109375" style="36" customWidth="1"/>
    <col min="11" max="11" width="15.21875" style="36" customWidth="1"/>
    <col min="12" max="22" width="8.88671875" style="31"/>
    <col min="23" max="23" width="10.21875" style="31" customWidth="1"/>
    <col min="24" max="16384" width="8.88671875" style="31"/>
  </cols>
  <sheetData>
    <row r="1" spans="1:23" x14ac:dyDescent="0.3">
      <c r="A1" s="5" t="s">
        <v>0</v>
      </c>
      <c r="B1" s="10" t="s">
        <v>8</v>
      </c>
      <c r="C1" s="5" t="s">
        <v>1</v>
      </c>
      <c r="D1" s="5" t="s">
        <v>16</v>
      </c>
      <c r="E1" s="5" t="s">
        <v>2</v>
      </c>
      <c r="F1" s="5" t="s">
        <v>10</v>
      </c>
      <c r="G1" s="5" t="s">
        <v>3</v>
      </c>
      <c r="H1" s="5" t="s">
        <v>4</v>
      </c>
      <c r="I1" s="5" t="s">
        <v>5</v>
      </c>
      <c r="J1" s="10" t="s">
        <v>17</v>
      </c>
      <c r="K1" s="10" t="s">
        <v>7</v>
      </c>
    </row>
    <row r="2" spans="1:23" x14ac:dyDescent="0.3">
      <c r="A2" s="8" t="s">
        <v>27</v>
      </c>
      <c r="B2" s="11" t="s">
        <v>29</v>
      </c>
      <c r="C2" s="8" t="s">
        <v>21</v>
      </c>
      <c r="D2" s="8">
        <v>44924</v>
      </c>
      <c r="E2" s="8" t="s">
        <v>20</v>
      </c>
      <c r="F2" s="8" t="s">
        <v>30</v>
      </c>
      <c r="G2" s="8" t="s">
        <v>28</v>
      </c>
      <c r="H2" s="8" t="s">
        <v>18</v>
      </c>
      <c r="I2" s="8" t="s">
        <v>19</v>
      </c>
      <c r="J2" s="11">
        <v>590006</v>
      </c>
      <c r="K2" s="11">
        <v>7996608996</v>
      </c>
    </row>
    <row r="3" spans="1:23" x14ac:dyDescent="0.3">
      <c r="A3" s="8" t="s">
        <v>44</v>
      </c>
      <c r="B3" s="11" t="s">
        <v>46</v>
      </c>
      <c r="C3" s="8" t="s">
        <v>42</v>
      </c>
      <c r="D3" s="8">
        <v>44924</v>
      </c>
      <c r="E3" s="8" t="s">
        <v>20</v>
      </c>
      <c r="F3" s="8" t="s">
        <v>35</v>
      </c>
      <c r="G3" s="8" t="s">
        <v>22</v>
      </c>
      <c r="H3" s="8" t="s">
        <v>45</v>
      </c>
      <c r="I3" s="8" t="s">
        <v>19</v>
      </c>
      <c r="J3" s="11">
        <v>590011</v>
      </c>
      <c r="K3" s="11">
        <v>8197179309</v>
      </c>
    </row>
    <row r="4" spans="1:23" x14ac:dyDescent="0.3">
      <c r="A4" s="26" t="s">
        <v>49</v>
      </c>
      <c r="B4" s="11" t="s">
        <v>48</v>
      </c>
      <c r="C4" s="26" t="s">
        <v>47</v>
      </c>
      <c r="D4" s="8">
        <v>45199</v>
      </c>
      <c r="E4" s="26" t="s">
        <v>20</v>
      </c>
      <c r="F4" s="26" t="s">
        <v>32</v>
      </c>
      <c r="G4" s="26" t="s">
        <v>24</v>
      </c>
      <c r="H4" s="26" t="s">
        <v>25</v>
      </c>
      <c r="I4" s="26" t="s">
        <v>26</v>
      </c>
      <c r="J4" s="11">
        <v>456123</v>
      </c>
      <c r="K4" s="11">
        <v>7705490125</v>
      </c>
    </row>
    <row r="5" spans="1:23" x14ac:dyDescent="0.3">
      <c r="A5" s="26" t="s">
        <v>50</v>
      </c>
      <c r="B5" s="11" t="s">
        <v>53</v>
      </c>
      <c r="C5" s="26" t="s">
        <v>51</v>
      </c>
      <c r="D5" s="8">
        <v>44926</v>
      </c>
      <c r="E5" s="26" t="s">
        <v>20</v>
      </c>
      <c r="F5" s="26" t="s">
        <v>30</v>
      </c>
      <c r="G5" s="26" t="s">
        <v>52</v>
      </c>
      <c r="H5" s="26" t="s">
        <v>25</v>
      </c>
      <c r="I5" s="26" t="s">
        <v>26</v>
      </c>
      <c r="J5" s="11">
        <v>651147</v>
      </c>
      <c r="K5" s="11">
        <v>6523178954</v>
      </c>
    </row>
    <row r="6" spans="1:23" x14ac:dyDescent="0.3">
      <c r="A6" s="32" t="s">
        <v>56</v>
      </c>
      <c r="B6" s="33" t="s">
        <v>61</v>
      </c>
      <c r="C6" s="32" t="s">
        <v>57</v>
      </c>
      <c r="D6" s="44">
        <v>45058</v>
      </c>
      <c r="E6" s="32" t="s">
        <v>20</v>
      </c>
      <c r="F6" s="32" t="s">
        <v>34</v>
      </c>
      <c r="G6" s="32" t="s">
        <v>58</v>
      </c>
      <c r="H6" s="32" t="s">
        <v>59</v>
      </c>
      <c r="I6" s="32" t="s">
        <v>60</v>
      </c>
      <c r="J6" s="33">
        <v>100111</v>
      </c>
      <c r="K6" s="33">
        <v>9874563211</v>
      </c>
    </row>
    <row r="7" spans="1:23" x14ac:dyDescent="0.3">
      <c r="A7" s="32" t="s">
        <v>65</v>
      </c>
      <c r="B7" s="33" t="s">
        <v>63</v>
      </c>
      <c r="C7" s="32" t="s">
        <v>42</v>
      </c>
      <c r="D7" s="44">
        <v>45102</v>
      </c>
      <c r="E7" s="32" t="s">
        <v>64</v>
      </c>
      <c r="F7" s="32" t="s">
        <v>37</v>
      </c>
      <c r="G7" s="32" t="s">
        <v>62</v>
      </c>
      <c r="H7" s="32" t="s">
        <v>54</v>
      </c>
      <c r="I7" s="32" t="s">
        <v>55</v>
      </c>
      <c r="J7" s="33">
        <v>650011</v>
      </c>
      <c r="K7" s="33">
        <v>9874563210</v>
      </c>
      <c r="W7" s="36"/>
    </row>
    <row r="8" spans="1:23" x14ac:dyDescent="0.3">
      <c r="A8" s="32" t="s">
        <v>66</v>
      </c>
      <c r="B8" s="33" t="s">
        <v>77</v>
      </c>
      <c r="C8" s="32" t="s">
        <v>67</v>
      </c>
      <c r="D8" s="44">
        <v>45102</v>
      </c>
      <c r="E8" s="32" t="s">
        <v>64</v>
      </c>
      <c r="F8" s="32" t="s">
        <v>31</v>
      </c>
      <c r="G8" s="32" t="s">
        <v>68</v>
      </c>
      <c r="H8" s="32" t="s">
        <v>69</v>
      </c>
      <c r="I8" s="32" t="s">
        <v>55</v>
      </c>
      <c r="J8" s="33">
        <v>789456</v>
      </c>
      <c r="K8" s="33">
        <v>1023654789</v>
      </c>
    </row>
    <row r="9" spans="1:23" x14ac:dyDescent="0.3">
      <c r="A9" s="32" t="s">
        <v>71</v>
      </c>
      <c r="B9" s="33" t="s">
        <v>78</v>
      </c>
      <c r="C9" s="32" t="s">
        <v>72</v>
      </c>
      <c r="D9" s="32">
        <v>37493</v>
      </c>
      <c r="E9" s="32" t="s">
        <v>20</v>
      </c>
      <c r="F9" s="32" t="s">
        <v>33</v>
      </c>
      <c r="G9" s="32" t="s">
        <v>73</v>
      </c>
      <c r="H9" s="32" t="s">
        <v>74</v>
      </c>
      <c r="I9" s="32" t="s">
        <v>19</v>
      </c>
      <c r="J9" s="33">
        <v>590006</v>
      </c>
      <c r="K9" s="33">
        <v>1234567891</v>
      </c>
    </row>
    <row r="10" spans="1:23" x14ac:dyDescent="0.3">
      <c r="A10" s="32" t="s">
        <v>75</v>
      </c>
      <c r="B10" s="33" t="s">
        <v>79</v>
      </c>
      <c r="C10" s="32" t="s">
        <v>76</v>
      </c>
      <c r="D10" s="32">
        <v>37398</v>
      </c>
      <c r="E10" s="32" t="s">
        <v>20</v>
      </c>
      <c r="F10" s="32" t="s">
        <v>36</v>
      </c>
      <c r="G10" s="32" t="s">
        <v>28</v>
      </c>
      <c r="H10" s="32" t="s">
        <v>74</v>
      </c>
      <c r="I10" s="32" t="s">
        <v>19</v>
      </c>
      <c r="J10" s="33">
        <v>590004</v>
      </c>
      <c r="K10" s="33">
        <v>1243658790</v>
      </c>
    </row>
    <row r="11" spans="1:23" ht="14.4" customHeight="1" x14ac:dyDescent="0.3">
      <c r="A11" s="34" t="s">
        <v>80</v>
      </c>
      <c r="B11" s="35" t="s">
        <v>46</v>
      </c>
      <c r="C11" s="34" t="s">
        <v>81</v>
      </c>
      <c r="D11" s="34">
        <v>37493</v>
      </c>
      <c r="E11" s="34" t="s">
        <v>20</v>
      </c>
      <c r="F11" s="34" t="s">
        <v>36</v>
      </c>
      <c r="G11" s="34" t="s">
        <v>28</v>
      </c>
      <c r="H11" s="34" t="s">
        <v>74</v>
      </c>
      <c r="I11" s="34" t="s">
        <v>19</v>
      </c>
      <c r="J11" s="35">
        <v>590003</v>
      </c>
      <c r="K11" s="35">
        <v>1234567891</v>
      </c>
      <c r="W11" s="57" t="s">
        <v>41</v>
      </c>
    </row>
    <row r="12" spans="1:23" x14ac:dyDescent="0.3">
      <c r="A12" s="8" t="s">
        <v>27</v>
      </c>
      <c r="B12" s="11" t="s">
        <v>29</v>
      </c>
      <c r="C12" s="8" t="s">
        <v>21</v>
      </c>
      <c r="D12" s="8">
        <v>44924</v>
      </c>
      <c r="E12" s="8" t="s">
        <v>20</v>
      </c>
      <c r="F12" s="8" t="s">
        <v>30</v>
      </c>
      <c r="G12" s="8" t="s">
        <v>28</v>
      </c>
      <c r="H12" s="8" t="s">
        <v>18</v>
      </c>
      <c r="I12" s="8" t="s">
        <v>19</v>
      </c>
      <c r="J12" s="11">
        <v>590006</v>
      </c>
      <c r="K12" s="11">
        <v>7996608996</v>
      </c>
      <c r="W12" s="57"/>
    </row>
    <row r="13" spans="1:23" x14ac:dyDescent="0.3">
      <c r="A13" s="34" t="s">
        <v>82</v>
      </c>
      <c r="B13" s="35" t="s">
        <v>85</v>
      </c>
      <c r="C13" s="34" t="s">
        <v>83</v>
      </c>
      <c r="D13" s="58">
        <v>44550</v>
      </c>
      <c r="E13" s="34" t="s">
        <v>64</v>
      </c>
      <c r="F13" s="34" t="s">
        <v>33</v>
      </c>
      <c r="G13" s="34" t="s">
        <v>84</v>
      </c>
      <c r="H13" s="34" t="s">
        <v>18</v>
      </c>
      <c r="I13" s="34" t="s">
        <v>19</v>
      </c>
      <c r="J13" s="35">
        <v>590006</v>
      </c>
      <c r="K13" s="35">
        <v>7899058352</v>
      </c>
      <c r="W13" s="57"/>
    </row>
    <row r="14" spans="1:23" x14ac:dyDescent="0.3">
      <c r="W14" s="57"/>
    </row>
    <row r="15" spans="1:23" x14ac:dyDescent="0.3">
      <c r="W15" s="57"/>
    </row>
  </sheetData>
  <mergeCells count="1">
    <mergeCell ref="W11:W1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3A10E-C007-462C-8B2D-453FE1080C47}">
  <sheetPr codeName="Sheet3"/>
  <dimension ref="A1:L21"/>
  <sheetViews>
    <sheetView zoomScaleNormal="100" workbookViewId="0">
      <selection activeCell="H11" sqref="H11"/>
    </sheetView>
  </sheetViews>
  <sheetFormatPr defaultRowHeight="14.4" x14ac:dyDescent="0.3"/>
  <cols>
    <col min="1" max="1" width="20" style="31" customWidth="1"/>
    <col min="2" max="2" width="31.6640625" style="31" bestFit="1" customWidth="1"/>
    <col min="4" max="4" width="38.88671875" customWidth="1"/>
    <col min="5" max="5" width="24.6640625" customWidth="1"/>
  </cols>
  <sheetData>
    <row r="1" spans="1:12" x14ac:dyDescent="0.3">
      <c r="A1" s="5" t="s">
        <v>0</v>
      </c>
      <c r="B1" s="5" t="s">
        <v>10</v>
      </c>
      <c r="D1" s="42" t="s">
        <v>10</v>
      </c>
      <c r="E1" s="42" t="s">
        <v>70</v>
      </c>
    </row>
    <row r="2" spans="1:12" x14ac:dyDescent="0.3">
      <c r="A2" s="8" t="s">
        <v>27</v>
      </c>
      <c r="B2" s="8" t="s">
        <v>30</v>
      </c>
      <c r="D2" s="37" t="s">
        <v>30</v>
      </c>
      <c r="E2" s="43">
        <f>COUNTIF(B2:B500,D2:D12)</f>
        <v>3</v>
      </c>
    </row>
    <row r="3" spans="1:12" x14ac:dyDescent="0.3">
      <c r="A3" s="8" t="s">
        <v>44</v>
      </c>
      <c r="B3" s="8" t="s">
        <v>35</v>
      </c>
      <c r="D3" s="37" t="s">
        <v>35</v>
      </c>
      <c r="E3" s="43">
        <f t="shared" ref="E3:E12" si="0">COUNTIF(B3:B501,D3:D13)</f>
        <v>1</v>
      </c>
    </row>
    <row r="4" spans="1:12" x14ac:dyDescent="0.3">
      <c r="A4" s="26" t="s">
        <v>49</v>
      </c>
      <c r="B4" s="26" t="s">
        <v>32</v>
      </c>
      <c r="D4" s="38" t="s">
        <v>32</v>
      </c>
      <c r="E4" s="43">
        <f t="shared" si="0"/>
        <v>1</v>
      </c>
    </row>
    <row r="5" spans="1:12" x14ac:dyDescent="0.3">
      <c r="A5" s="26" t="s">
        <v>50</v>
      </c>
      <c r="B5" s="26" t="s">
        <v>30</v>
      </c>
      <c r="D5" s="37" t="s">
        <v>31</v>
      </c>
      <c r="E5" s="43">
        <f t="shared" si="0"/>
        <v>1</v>
      </c>
    </row>
    <row r="6" spans="1:12" x14ac:dyDescent="0.3">
      <c r="A6" s="32" t="s">
        <v>56</v>
      </c>
      <c r="B6" s="32" t="s">
        <v>34</v>
      </c>
      <c r="D6" s="38" t="s">
        <v>34</v>
      </c>
      <c r="E6" s="43">
        <f>COUNTIF(B6:B504,D6:D16)</f>
        <v>1</v>
      </c>
    </row>
    <row r="7" spans="1:12" x14ac:dyDescent="0.3">
      <c r="A7" s="32" t="s">
        <v>65</v>
      </c>
      <c r="B7" s="32" t="s">
        <v>37</v>
      </c>
      <c r="D7" s="38" t="s">
        <v>33</v>
      </c>
      <c r="E7" s="43">
        <f>COUNTIF(B6:B505,D7:D17)</f>
        <v>2</v>
      </c>
    </row>
    <row r="8" spans="1:12" x14ac:dyDescent="0.3">
      <c r="A8" s="32" t="s">
        <v>66</v>
      </c>
      <c r="B8" s="32" t="s">
        <v>31</v>
      </c>
      <c r="D8" s="34" t="s">
        <v>36</v>
      </c>
      <c r="E8" s="43">
        <f t="shared" si="0"/>
        <v>2</v>
      </c>
    </row>
    <row r="9" spans="1:12" x14ac:dyDescent="0.3">
      <c r="A9" s="32" t="s">
        <v>71</v>
      </c>
      <c r="B9" s="32" t="s">
        <v>33</v>
      </c>
      <c r="D9" s="34" t="s">
        <v>37</v>
      </c>
      <c r="E9" s="43">
        <v>1</v>
      </c>
    </row>
    <row r="10" spans="1:12" x14ac:dyDescent="0.3">
      <c r="A10" s="32" t="s">
        <v>75</v>
      </c>
      <c r="B10" s="32" t="s">
        <v>36</v>
      </c>
      <c r="D10" s="34" t="s">
        <v>38</v>
      </c>
      <c r="E10" s="43">
        <f t="shared" si="0"/>
        <v>0</v>
      </c>
    </row>
    <row r="11" spans="1:12" x14ac:dyDescent="0.3">
      <c r="A11" s="34" t="s">
        <v>80</v>
      </c>
      <c r="B11" s="34" t="s">
        <v>36</v>
      </c>
      <c r="D11" s="34" t="s">
        <v>39</v>
      </c>
      <c r="E11" s="43">
        <f t="shared" si="0"/>
        <v>0</v>
      </c>
      <c r="K11" s="41"/>
      <c r="L11" s="40"/>
    </row>
    <row r="12" spans="1:12" x14ac:dyDescent="0.3">
      <c r="A12" s="8" t="s">
        <v>27</v>
      </c>
      <c r="B12" s="8" t="s">
        <v>30</v>
      </c>
      <c r="D12" s="34" t="s">
        <v>40</v>
      </c>
      <c r="E12" s="43">
        <f t="shared" si="0"/>
        <v>0</v>
      </c>
      <c r="K12" s="41"/>
      <c r="L12" s="40"/>
    </row>
    <row r="13" spans="1:12" x14ac:dyDescent="0.3">
      <c r="A13" s="34" t="s">
        <v>82</v>
      </c>
      <c r="B13" s="34" t="s">
        <v>33</v>
      </c>
      <c r="D13" s="31"/>
      <c r="K13" s="41"/>
      <c r="L13" s="41"/>
    </row>
    <row r="14" spans="1:12" x14ac:dyDescent="0.3">
      <c r="K14" s="41"/>
      <c r="L14" s="41"/>
    </row>
    <row r="15" spans="1:12" x14ac:dyDescent="0.3">
      <c r="K15" s="41"/>
      <c r="L15" s="41"/>
    </row>
    <row r="16" spans="1:12" x14ac:dyDescent="0.3">
      <c r="K16" s="41"/>
      <c r="L16" s="41"/>
    </row>
    <row r="17" spans="11:12" x14ac:dyDescent="0.3">
      <c r="K17" s="41"/>
      <c r="L17" s="31"/>
    </row>
    <row r="18" spans="11:12" x14ac:dyDescent="0.3">
      <c r="K18" s="41"/>
      <c r="L18" s="31"/>
    </row>
    <row r="19" spans="11:12" x14ac:dyDescent="0.3">
      <c r="K19" s="41"/>
      <c r="L19" s="31"/>
    </row>
    <row r="20" spans="11:12" x14ac:dyDescent="0.3">
      <c r="K20" s="41"/>
      <c r="L20" s="31"/>
    </row>
    <row r="21" spans="11:12" x14ac:dyDescent="0.3">
      <c r="K21" s="41"/>
      <c r="L21" s="31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0515D-75CA-40E1-B04F-7949A09DAEDF}">
  <sheetPr codeName="Sheet4"/>
  <dimension ref="A1:B11"/>
  <sheetViews>
    <sheetView workbookViewId="0">
      <selection sqref="A1:C11"/>
    </sheetView>
  </sheetViews>
  <sheetFormatPr defaultRowHeight="14.4" x14ac:dyDescent="0.3"/>
  <sheetData>
    <row r="1" spans="1:2" x14ac:dyDescent="0.3">
      <c r="A1" s="38" t="s">
        <v>23</v>
      </c>
      <c r="B1" s="8" t="s">
        <v>31</v>
      </c>
    </row>
    <row r="2" spans="1:2" x14ac:dyDescent="0.3">
      <c r="A2" s="38" t="s">
        <v>23</v>
      </c>
      <c r="B2" s="8" t="s">
        <v>32</v>
      </c>
    </row>
    <row r="3" spans="1:2" x14ac:dyDescent="0.3">
      <c r="A3" s="38" t="s">
        <v>23</v>
      </c>
      <c r="B3" s="38" t="s">
        <v>34</v>
      </c>
    </row>
    <row r="4" spans="1:2" x14ac:dyDescent="0.3">
      <c r="A4" s="38" t="s">
        <v>23</v>
      </c>
      <c r="B4" s="39" t="s">
        <v>33</v>
      </c>
    </row>
    <row r="5" spans="1:2" x14ac:dyDescent="0.3">
      <c r="A5" s="38" t="s">
        <v>23</v>
      </c>
      <c r="B5" s="41" t="s">
        <v>30</v>
      </c>
    </row>
    <row r="6" spans="1:2" x14ac:dyDescent="0.3">
      <c r="A6" s="38" t="s">
        <v>23</v>
      </c>
      <c r="B6" s="41" t="s">
        <v>35</v>
      </c>
    </row>
    <row r="7" spans="1:2" x14ac:dyDescent="0.3">
      <c r="A7" s="38" t="s">
        <v>23</v>
      </c>
      <c r="B7" s="31" t="s">
        <v>36</v>
      </c>
    </row>
    <row r="8" spans="1:2" x14ac:dyDescent="0.3">
      <c r="A8" s="38" t="s">
        <v>23</v>
      </c>
      <c r="B8" s="31" t="s">
        <v>37</v>
      </c>
    </row>
    <row r="9" spans="1:2" x14ac:dyDescent="0.3">
      <c r="A9" s="38" t="s">
        <v>23</v>
      </c>
      <c r="B9" s="31" t="s">
        <v>38</v>
      </c>
    </row>
    <row r="10" spans="1:2" x14ac:dyDescent="0.3">
      <c r="A10" s="38" t="s">
        <v>23</v>
      </c>
      <c r="B10" s="31" t="s">
        <v>39</v>
      </c>
    </row>
    <row r="11" spans="1:2" x14ac:dyDescent="0.3">
      <c r="A11" s="38" t="s">
        <v>23</v>
      </c>
      <c r="B11" s="3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 Entry</vt:lpstr>
      <vt:lpstr>DataBase</vt:lpstr>
      <vt:lpstr>Dashboards</vt:lpstr>
      <vt:lpstr>Sheet1</vt:lpstr>
      <vt:lpstr>Dashboards!Extract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Shreyas</dc:creator>
  <cp:lastModifiedBy>Shreyas Huddar</cp:lastModifiedBy>
  <dcterms:created xsi:type="dcterms:W3CDTF">2023-09-01T14:20:45Z</dcterms:created>
  <dcterms:modified xsi:type="dcterms:W3CDTF">2023-10-09T07:35:52Z</dcterms:modified>
</cp:coreProperties>
</file>